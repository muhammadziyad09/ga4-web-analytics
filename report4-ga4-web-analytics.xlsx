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sights &amp; Method" sheetId="3" state="visible" r:id="rId3"/>
  </sheets>
  <definedNames>
    <definedName name="_xlnm._FilterDatabase" localSheetId="1" hidden="1">'Data'!$A$1:$O$29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color rgb="00FFFFFF"/>
      <sz val="10"/>
    </font>
    <font>
      <b val="1"/>
      <color rgb="003A3A3A"/>
      <sz val="14"/>
    </font>
    <font>
      <b val="1"/>
      <color rgb="003A3A3A"/>
      <sz val="11"/>
    </font>
    <font>
      <b val="1"/>
      <color rgb="003A3A3A"/>
      <sz val="13"/>
    </font>
    <font>
      <color rgb="00262626"/>
      <sz val="11"/>
    </font>
    <font>
      <b val="1"/>
      <color rgb="003A3A3A"/>
      <sz val="12"/>
    </font>
  </fonts>
  <fills count="5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DE7A35"/>
      </patternFill>
    </fill>
    <fill>
      <patternFill patternType="solid">
        <fgColor rgb="00FFF6DE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4" fillId="4" borderId="0" applyAlignment="1" pivotButton="0" quotePrefix="0" xfId="0">
      <alignment horizontal="center" vertical="center"/>
    </xf>
    <xf numFmtId="1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3" fillId="2" borderId="1" applyAlignment="1" pivotButton="0" quotePrefix="0" xfId="0">
      <alignment horizontal="center"/>
    </xf>
    <xf numFmtId="2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Users by Platform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'Dashboard'!$A$11:$A$14</f>
            </numRef>
          </cat>
          <val>
            <numRef>
              <f>'Dashboard'!$B$11:$B$14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Conversions by Event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'Dashboard'!$F$11:$F$13</f>
            </numRef>
          </cat>
          <val>
            <numRef>
              <f>'Dashboard'!$G$11:$G$13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1" t="inlineStr">
        <is>
          <t>WEB ANALYTICS  —  PAST 28 DAYS (GA4-STYLE)</t>
        </is>
      </c>
    </row>
    <row r="2">
      <c r="A2" s="2" t="inlineStr">
        <is>
          <t>Sample portfolio project  •  10 Nov – 7 Dec 2025  •  KPIs are live formulas linked to the Data sheet</t>
        </is>
      </c>
    </row>
    <row r="4">
      <c r="A4" s="3" t="inlineStr">
        <is>
          <t>TOTAL USERS</t>
        </is>
      </c>
      <c r="C4" s="3" t="inlineStr">
        <is>
          <t>TOTAL CONVERSIONS</t>
        </is>
      </c>
      <c r="E4" s="3" t="inlineStr">
        <is>
          <t>CONV. RATE — WEB</t>
        </is>
      </c>
      <c r="G4" s="3" t="inlineStr">
        <is>
          <t>CONV. RATE — APP</t>
        </is>
      </c>
      <c r="H4" s="3" t="inlineStr">
        <is>
          <t>AVG ENGAGEMENT</t>
        </is>
      </c>
    </row>
    <row r="5">
      <c r="A5" s="4">
        <f>SUM(Data!C:C)+SUM(Data!D:D)</f>
        <v/>
      </c>
      <c r="C5" s="4">
        <f>SUM(Data!E:E)+SUM(Data!F:F)</f>
        <v/>
      </c>
      <c r="E5" s="5">
        <f>SUM(Data!E:E)/SUM(Data!C:C)</f>
        <v/>
      </c>
      <c r="G5" s="5">
        <f>SUM(Data!F:F)/SUM(Data!D:D)</f>
        <v/>
      </c>
      <c r="H5" s="6">
        <f>(AVERAGE(Data!M:M)+AVERAGE(Data!N:N))/2</f>
        <v/>
      </c>
    </row>
    <row r="6"/>
    <row r="9">
      <c r="A9" s="7" t="inlineStr">
        <is>
          <t>Weekly Totals</t>
        </is>
      </c>
      <c r="F9" s="7" t="inlineStr">
        <is>
          <t>Conversions by Event Type</t>
        </is>
      </c>
    </row>
    <row r="10">
      <c r="A10" s="8" t="inlineStr">
        <is>
          <t>Week</t>
        </is>
      </c>
      <c r="B10" s="8" t="inlineStr">
        <is>
          <t>Users (Web)</t>
        </is>
      </c>
      <c r="C10" s="8" t="inlineStr">
        <is>
          <t>Users (App)</t>
        </is>
      </c>
      <c r="D10" s="8" t="inlineStr">
        <is>
          <t>Conversions</t>
        </is>
      </c>
      <c r="F10" s="8" t="inlineStr">
        <is>
          <t>Event</t>
        </is>
      </c>
      <c r="G10" s="8" t="inlineStr">
        <is>
          <t>Web</t>
        </is>
      </c>
      <c r="H10" s="8" t="inlineStr">
        <is>
          <t>App</t>
        </is>
      </c>
    </row>
    <row r="11">
      <c r="A11" s="9" t="inlineStr">
        <is>
          <t>Week 1</t>
        </is>
      </c>
      <c r="B11" s="10" t="n">
        <v>30016</v>
      </c>
      <c r="C11" s="10" t="n">
        <v>21613</v>
      </c>
      <c r="D11" s="10" t="n">
        <v>575</v>
      </c>
      <c r="F11" s="9" t="inlineStr">
        <is>
          <t>Purchase</t>
        </is>
      </c>
      <c r="G11" s="10" t="n">
        <v>744</v>
      </c>
      <c r="H11" s="10" t="n">
        <v>84</v>
      </c>
    </row>
    <row r="12">
      <c r="A12" s="9" t="inlineStr">
        <is>
          <t>Week 2</t>
        </is>
      </c>
      <c r="B12" s="10" t="n">
        <v>32590</v>
      </c>
      <c r="C12" s="10" t="n">
        <v>20376</v>
      </c>
      <c r="D12" s="10" t="n">
        <v>544</v>
      </c>
      <c r="F12" s="9" t="inlineStr">
        <is>
          <t>Upgrade</t>
        </is>
      </c>
      <c r="G12" s="10" t="n">
        <v>327</v>
      </c>
      <c r="H12" s="10" t="n">
        <v>621</v>
      </c>
    </row>
    <row r="13">
      <c r="A13" s="9" t="inlineStr">
        <is>
          <t>Week 3</t>
        </is>
      </c>
      <c r="B13" s="10" t="n">
        <v>30875</v>
      </c>
      <c r="C13" s="10" t="n">
        <v>19573</v>
      </c>
      <c r="D13" s="10" t="n">
        <v>529</v>
      </c>
      <c r="F13" s="9" t="inlineStr">
        <is>
          <t>Addon</t>
        </is>
      </c>
      <c r="G13" s="10" t="n">
        <v>133</v>
      </c>
      <c r="H13" s="10" t="n">
        <v>236</v>
      </c>
    </row>
    <row r="14">
      <c r="A14" s="9" t="inlineStr">
        <is>
          <t>Week 4</t>
        </is>
      </c>
      <c r="B14" s="10" t="n">
        <v>30819</v>
      </c>
      <c r="C14" s="10" t="n">
        <v>20038</v>
      </c>
      <c r="D14" s="10" t="n">
        <v>497</v>
      </c>
    </row>
    <row r="16">
      <c r="A16" s="7" t="inlineStr">
        <is>
          <t>Platform Split (28 days)</t>
        </is>
      </c>
    </row>
    <row r="17">
      <c r="A17" s="8" t="inlineStr">
        <is>
          <t>Platform</t>
        </is>
      </c>
      <c r="B17" s="8" t="inlineStr">
        <is>
          <t>Users</t>
        </is>
      </c>
      <c r="C17" s="8" t="inlineStr">
        <is>
          <t>Conversions</t>
        </is>
      </c>
      <c r="D17" s="8" t="inlineStr">
        <is>
          <t>Conv. Rate %</t>
        </is>
      </c>
    </row>
    <row r="18">
      <c r="A18" s="9" t="inlineStr">
        <is>
          <t>Web</t>
        </is>
      </c>
      <c r="B18" s="11" t="n">
        <v>124300</v>
      </c>
      <c r="C18" s="11" t="n">
        <v>1204</v>
      </c>
      <c r="D18" s="11" t="n">
        <v>0.97</v>
      </c>
    </row>
    <row r="19">
      <c r="A19" s="9" t="inlineStr">
        <is>
          <t>App</t>
        </is>
      </c>
      <c r="B19" s="11" t="n">
        <v>81600</v>
      </c>
      <c r="C19" s="11" t="n">
        <v>941</v>
      </c>
      <c r="D19" s="11" t="n">
        <v>1.15</v>
      </c>
    </row>
  </sheetData>
  <mergeCells count="15">
    <mergeCell ref="A4:B4"/>
    <mergeCell ref="G5:G6"/>
    <mergeCell ref="A1:J1"/>
    <mergeCell ref="E4:F4"/>
    <mergeCell ref="A9:D9"/>
    <mergeCell ref="G4"/>
    <mergeCell ref="C5:D6"/>
    <mergeCell ref="A5:B6"/>
    <mergeCell ref="E5:F6"/>
    <mergeCell ref="H4:I4"/>
    <mergeCell ref="A2:J2"/>
    <mergeCell ref="H5:I6"/>
    <mergeCell ref="F9:H9"/>
    <mergeCell ref="A16:D16"/>
    <mergeCell ref="C4:D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12" customWidth="1" min="4" max="4"/>
    <col width="15" customWidth="1" min="5" max="5"/>
    <col width="15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1" customWidth="1" min="12" max="12"/>
    <col width="15" customWidth="1" min="13" max="13"/>
    <col width="15" customWidth="1" min="14" max="14"/>
    <col width="12" customWidth="1" min="15" max="15"/>
  </cols>
  <sheetData>
    <row r="1">
      <c r="A1" s="12" t="inlineStr">
        <is>
          <t>Date</t>
        </is>
      </c>
      <c r="B1" s="12" t="inlineStr">
        <is>
          <t>Day</t>
        </is>
      </c>
      <c r="C1" s="12" t="inlineStr">
        <is>
          <t>Users (Web)</t>
        </is>
      </c>
      <c r="D1" s="12" t="inlineStr">
        <is>
          <t>Users (App)</t>
        </is>
      </c>
      <c r="E1" s="12" t="inlineStr">
        <is>
          <t>Conversions (Web)</t>
        </is>
      </c>
      <c r="F1" s="12" t="inlineStr">
        <is>
          <t>Conversions (App)</t>
        </is>
      </c>
      <c r="G1" s="12" t="inlineStr">
        <is>
          <t>Purchase (Web)</t>
        </is>
      </c>
      <c r="H1" s="12" t="inlineStr">
        <is>
          <t>Upgrade (Web)</t>
        </is>
      </c>
      <c r="I1" s="12" t="inlineStr">
        <is>
          <t>Addon (Web)</t>
        </is>
      </c>
      <c r="J1" s="12" t="inlineStr">
        <is>
          <t>Purchase (App)</t>
        </is>
      </c>
      <c r="K1" s="12" t="inlineStr">
        <is>
          <t>Upgrade (App)</t>
        </is>
      </c>
      <c r="L1" s="12" t="inlineStr">
        <is>
          <t>Addon (App)</t>
        </is>
      </c>
      <c r="M1" s="12" t="inlineStr">
        <is>
          <t>Engagement % (Web)</t>
        </is>
      </c>
      <c r="N1" s="12" t="inlineStr">
        <is>
          <t>Engagement % (App)</t>
        </is>
      </c>
      <c r="O1" s="12" t="inlineStr">
        <is>
          <t>Users Total</t>
        </is>
      </c>
    </row>
    <row r="2">
      <c r="A2" t="inlineStr">
        <is>
          <t>2025-11-10</t>
        </is>
      </c>
      <c r="B2" t="inlineStr">
        <is>
          <t>Mon</t>
        </is>
      </c>
      <c r="C2" t="n">
        <v>4674</v>
      </c>
      <c r="D2" t="n">
        <v>3823</v>
      </c>
      <c r="E2" t="n">
        <v>57</v>
      </c>
      <c r="F2" t="n">
        <v>42</v>
      </c>
      <c r="G2" t="n">
        <v>36</v>
      </c>
      <c r="H2" t="n">
        <v>15</v>
      </c>
      <c r="I2" t="n">
        <v>6</v>
      </c>
      <c r="J2" t="n">
        <v>4</v>
      </c>
      <c r="K2" t="n">
        <v>28</v>
      </c>
      <c r="L2" t="n">
        <v>10</v>
      </c>
      <c r="M2" s="13" t="n">
        <v>47.22</v>
      </c>
      <c r="N2" s="13" t="n">
        <v>54.29</v>
      </c>
      <c r="O2" s="13" t="n">
        <v>8497</v>
      </c>
    </row>
    <row r="3">
      <c r="A3" t="inlineStr">
        <is>
          <t>2025-11-11</t>
        </is>
      </c>
      <c r="B3" t="inlineStr">
        <is>
          <t>Tue</t>
        </is>
      </c>
      <c r="C3" t="n">
        <v>5222</v>
      </c>
      <c r="D3" t="n">
        <v>3581</v>
      </c>
      <c r="E3" t="n">
        <v>60</v>
      </c>
      <c r="F3" t="n">
        <v>43</v>
      </c>
      <c r="G3" t="n">
        <v>37</v>
      </c>
      <c r="H3" t="n">
        <v>16</v>
      </c>
      <c r="I3" t="n">
        <v>7</v>
      </c>
      <c r="J3" t="n">
        <v>4</v>
      </c>
      <c r="K3" t="n">
        <v>28</v>
      </c>
      <c r="L3" t="n">
        <v>11</v>
      </c>
      <c r="M3" s="13" t="n">
        <v>49.84</v>
      </c>
      <c r="N3" s="13" t="n">
        <v>57.97</v>
      </c>
      <c r="O3" s="13" t="n">
        <v>8803</v>
      </c>
    </row>
    <row r="4">
      <c r="A4" t="inlineStr">
        <is>
          <t>2025-11-12</t>
        </is>
      </c>
      <c r="B4" t="inlineStr">
        <is>
          <t>Wed</t>
        </is>
      </c>
      <c r="C4" t="n">
        <v>4528</v>
      </c>
      <c r="D4" t="n">
        <v>3413</v>
      </c>
      <c r="E4" t="n">
        <v>62</v>
      </c>
      <c r="F4" t="n">
        <v>46</v>
      </c>
      <c r="G4" t="n">
        <v>38</v>
      </c>
      <c r="H4" t="n">
        <v>17</v>
      </c>
      <c r="I4" t="n">
        <v>7</v>
      </c>
      <c r="J4" t="n">
        <v>4</v>
      </c>
      <c r="K4" t="n">
        <v>30</v>
      </c>
      <c r="L4" t="n">
        <v>12</v>
      </c>
      <c r="M4" s="13" t="n">
        <v>53.46</v>
      </c>
      <c r="N4" s="13" t="n">
        <v>58.54</v>
      </c>
      <c r="O4" s="13" t="n">
        <v>7941</v>
      </c>
    </row>
    <row r="5">
      <c r="A5" t="inlineStr">
        <is>
          <t>2025-11-13</t>
        </is>
      </c>
      <c r="B5" t="inlineStr">
        <is>
          <t>Thu</t>
        </is>
      </c>
      <c r="C5" t="n">
        <v>4684</v>
      </c>
      <c r="D5" t="n">
        <v>3354</v>
      </c>
      <c r="E5" t="n">
        <v>54</v>
      </c>
      <c r="F5" t="n">
        <v>35</v>
      </c>
      <c r="G5" t="n">
        <v>33</v>
      </c>
      <c r="H5" t="n">
        <v>15</v>
      </c>
      <c r="I5" t="n">
        <v>6</v>
      </c>
      <c r="J5" t="n">
        <v>3</v>
      </c>
      <c r="K5" t="n">
        <v>23</v>
      </c>
      <c r="L5" t="n">
        <v>9</v>
      </c>
      <c r="M5" s="13" t="n">
        <v>55.07</v>
      </c>
      <c r="N5" s="13" t="n">
        <v>52.07</v>
      </c>
      <c r="O5" s="13" t="n">
        <v>8038</v>
      </c>
    </row>
    <row r="6">
      <c r="A6" t="inlineStr">
        <is>
          <t>2025-11-14</t>
        </is>
      </c>
      <c r="B6" t="inlineStr">
        <is>
          <t>Fri</t>
        </is>
      </c>
      <c r="C6" t="n">
        <v>5551</v>
      </c>
      <c r="D6" t="n">
        <v>3676</v>
      </c>
      <c r="E6" t="n">
        <v>50</v>
      </c>
      <c r="F6" t="n">
        <v>28</v>
      </c>
      <c r="G6" t="n">
        <v>30</v>
      </c>
      <c r="H6" t="n">
        <v>14</v>
      </c>
      <c r="I6" t="n">
        <v>6</v>
      </c>
      <c r="J6" t="n">
        <v>3</v>
      </c>
      <c r="K6" t="n">
        <v>18</v>
      </c>
      <c r="L6" t="n">
        <v>7</v>
      </c>
      <c r="M6" s="13" t="n">
        <v>52.36</v>
      </c>
      <c r="N6" s="13" t="n">
        <v>56.26</v>
      </c>
      <c r="O6" s="13" t="n">
        <v>9227</v>
      </c>
    </row>
    <row r="7">
      <c r="A7" t="inlineStr">
        <is>
          <t>2025-11-15</t>
        </is>
      </c>
      <c r="B7" t="inlineStr">
        <is>
          <t>Sat</t>
        </is>
      </c>
      <c r="C7" t="n">
        <v>2650</v>
      </c>
      <c r="D7" t="n">
        <v>1678</v>
      </c>
      <c r="E7" t="n">
        <v>28</v>
      </c>
      <c r="F7" t="n">
        <v>22</v>
      </c>
      <c r="G7" t="n">
        <v>17</v>
      </c>
      <c r="H7" t="n">
        <v>8</v>
      </c>
      <c r="I7" t="n">
        <v>3</v>
      </c>
      <c r="J7" t="n">
        <v>2</v>
      </c>
      <c r="K7" t="n">
        <v>14</v>
      </c>
      <c r="L7" t="n">
        <v>6</v>
      </c>
      <c r="M7" s="13" t="n">
        <v>47.79</v>
      </c>
      <c r="N7" s="13" t="n">
        <v>54.8</v>
      </c>
      <c r="O7" s="13" t="n">
        <v>4328</v>
      </c>
    </row>
    <row r="8">
      <c r="A8" t="inlineStr">
        <is>
          <t>2025-11-16</t>
        </is>
      </c>
      <c r="B8" t="inlineStr">
        <is>
          <t>Sun</t>
        </is>
      </c>
      <c r="C8" t="n">
        <v>2707</v>
      </c>
      <c r="D8" t="n">
        <v>2088</v>
      </c>
      <c r="E8" t="n">
        <v>23</v>
      </c>
      <c r="F8" t="n">
        <v>25</v>
      </c>
      <c r="G8" t="n">
        <v>14</v>
      </c>
      <c r="H8" t="n">
        <v>6</v>
      </c>
      <c r="I8" t="n">
        <v>3</v>
      </c>
      <c r="J8" t="n">
        <v>2</v>
      </c>
      <c r="K8" t="n">
        <v>17</v>
      </c>
      <c r="L8" t="n">
        <v>6</v>
      </c>
      <c r="M8" s="13" t="n">
        <v>51.84</v>
      </c>
      <c r="N8" s="13" t="n">
        <v>55.2</v>
      </c>
      <c r="O8" s="13" t="n">
        <v>4795</v>
      </c>
    </row>
    <row r="9">
      <c r="A9" t="inlineStr">
        <is>
          <t>2025-11-17</t>
        </is>
      </c>
      <c r="B9" t="inlineStr">
        <is>
          <t>Mon</t>
        </is>
      </c>
      <c r="C9" t="n">
        <v>4695</v>
      </c>
      <c r="D9" t="n">
        <v>3653</v>
      </c>
      <c r="E9" t="n">
        <v>62</v>
      </c>
      <c r="F9" t="n">
        <v>36</v>
      </c>
      <c r="G9" t="n">
        <v>38</v>
      </c>
      <c r="H9" t="n">
        <v>17</v>
      </c>
      <c r="I9" t="n">
        <v>7</v>
      </c>
      <c r="J9" t="n">
        <v>3</v>
      </c>
      <c r="K9" t="n">
        <v>24</v>
      </c>
      <c r="L9" t="n">
        <v>9</v>
      </c>
      <c r="M9" s="13" t="n">
        <v>47.4</v>
      </c>
      <c r="N9" s="13" t="n">
        <v>52.96</v>
      </c>
      <c r="O9" s="13" t="n">
        <v>8348</v>
      </c>
    </row>
    <row r="10">
      <c r="A10" t="inlineStr">
        <is>
          <t>2025-11-18</t>
        </is>
      </c>
      <c r="B10" t="inlineStr">
        <is>
          <t>Tue</t>
        </is>
      </c>
      <c r="C10" t="n">
        <v>6043</v>
      </c>
      <c r="D10" t="n">
        <v>3089</v>
      </c>
      <c r="E10" t="n">
        <v>48</v>
      </c>
      <c r="F10" t="n">
        <v>41</v>
      </c>
      <c r="G10" t="n">
        <v>30</v>
      </c>
      <c r="H10" t="n">
        <v>13</v>
      </c>
      <c r="I10" t="n">
        <v>5</v>
      </c>
      <c r="J10" t="n">
        <v>4</v>
      </c>
      <c r="K10" t="n">
        <v>27</v>
      </c>
      <c r="L10" t="n">
        <v>10</v>
      </c>
      <c r="M10" s="13" t="n">
        <v>48.37</v>
      </c>
      <c r="N10" s="13" t="n">
        <v>53.7</v>
      </c>
      <c r="O10" s="13" t="n">
        <v>9132</v>
      </c>
    </row>
    <row r="11">
      <c r="A11" t="inlineStr">
        <is>
          <t>2025-11-19</t>
        </is>
      </c>
      <c r="B11" t="inlineStr">
        <is>
          <t>Wed</t>
        </is>
      </c>
      <c r="C11" t="n">
        <v>5673</v>
      </c>
      <c r="D11" t="n">
        <v>3548</v>
      </c>
      <c r="E11" t="n">
        <v>55</v>
      </c>
      <c r="F11" t="n">
        <v>36</v>
      </c>
      <c r="G11" t="n">
        <v>34</v>
      </c>
      <c r="H11" t="n">
        <v>15</v>
      </c>
      <c r="I11" t="n">
        <v>6</v>
      </c>
      <c r="J11" t="n">
        <v>3</v>
      </c>
      <c r="K11" t="n">
        <v>24</v>
      </c>
      <c r="L11" t="n">
        <v>9</v>
      </c>
      <c r="M11" s="13" t="n">
        <v>49.34</v>
      </c>
      <c r="N11" s="13" t="n">
        <v>59.25</v>
      </c>
      <c r="O11" s="13" t="n">
        <v>9221</v>
      </c>
    </row>
    <row r="12">
      <c r="A12" t="inlineStr">
        <is>
          <t>2025-11-20</t>
        </is>
      </c>
      <c r="B12" t="inlineStr">
        <is>
          <t>Thu</t>
        </is>
      </c>
      <c r="C12" t="n">
        <v>5350</v>
      </c>
      <c r="D12" t="n">
        <v>3114</v>
      </c>
      <c r="E12" t="n">
        <v>40</v>
      </c>
      <c r="F12" t="n">
        <v>37</v>
      </c>
      <c r="G12" t="n">
        <v>25</v>
      </c>
      <c r="H12" t="n">
        <v>11</v>
      </c>
      <c r="I12" t="n">
        <v>4</v>
      </c>
      <c r="J12" t="n">
        <v>3</v>
      </c>
      <c r="K12" t="n">
        <v>25</v>
      </c>
      <c r="L12" t="n">
        <v>9</v>
      </c>
      <c r="M12" s="13" t="n">
        <v>52.75</v>
      </c>
      <c r="N12" s="13" t="n">
        <v>56.61</v>
      </c>
      <c r="O12" s="13" t="n">
        <v>8464</v>
      </c>
    </row>
    <row r="13">
      <c r="A13" t="inlineStr">
        <is>
          <t>2025-11-21</t>
        </is>
      </c>
      <c r="B13" t="inlineStr">
        <is>
          <t>Fri</t>
        </is>
      </c>
      <c r="C13" t="n">
        <v>5440</v>
      </c>
      <c r="D13" t="n">
        <v>3477</v>
      </c>
      <c r="E13" t="n">
        <v>37</v>
      </c>
      <c r="F13" t="n">
        <v>46</v>
      </c>
      <c r="G13" t="n">
        <v>23</v>
      </c>
      <c r="H13" t="n">
        <v>10</v>
      </c>
      <c r="I13" t="n">
        <v>4</v>
      </c>
      <c r="J13" t="n">
        <v>4</v>
      </c>
      <c r="K13" t="n">
        <v>30</v>
      </c>
      <c r="L13" t="n">
        <v>12</v>
      </c>
      <c r="M13" s="13" t="n">
        <v>50.1</v>
      </c>
      <c r="N13" s="13" t="n">
        <v>54.53</v>
      </c>
      <c r="O13" s="13" t="n">
        <v>8917</v>
      </c>
    </row>
    <row r="14">
      <c r="A14" t="inlineStr">
        <is>
          <t>2025-11-22</t>
        </is>
      </c>
      <c r="B14" t="inlineStr">
        <is>
          <t>Sat</t>
        </is>
      </c>
      <c r="C14" t="n">
        <v>2512</v>
      </c>
      <c r="D14" t="n">
        <v>1764</v>
      </c>
      <c r="E14" t="n">
        <v>28</v>
      </c>
      <c r="F14" t="n">
        <v>21</v>
      </c>
      <c r="G14" t="n">
        <v>17</v>
      </c>
      <c r="H14" t="n">
        <v>8</v>
      </c>
      <c r="I14" t="n">
        <v>3</v>
      </c>
      <c r="J14" t="n">
        <v>2</v>
      </c>
      <c r="K14" t="n">
        <v>14</v>
      </c>
      <c r="L14" t="n">
        <v>5</v>
      </c>
      <c r="M14" s="13" t="n">
        <v>48.2</v>
      </c>
      <c r="N14" s="13" t="n">
        <v>53.52</v>
      </c>
      <c r="O14" s="13" t="n">
        <v>4276</v>
      </c>
    </row>
    <row r="15">
      <c r="A15" t="inlineStr">
        <is>
          <t>2025-11-23</t>
        </is>
      </c>
      <c r="B15" t="inlineStr">
        <is>
          <t>Sun</t>
        </is>
      </c>
      <c r="C15" t="n">
        <v>2877</v>
      </c>
      <c r="D15" t="n">
        <v>1731</v>
      </c>
      <c r="E15" t="n">
        <v>35</v>
      </c>
      <c r="F15" t="n">
        <v>22</v>
      </c>
      <c r="G15" t="n">
        <v>22</v>
      </c>
      <c r="H15" t="n">
        <v>9</v>
      </c>
      <c r="I15" t="n">
        <v>4</v>
      </c>
      <c r="J15" t="n">
        <v>2</v>
      </c>
      <c r="K15" t="n">
        <v>14</v>
      </c>
      <c r="L15" t="n">
        <v>6</v>
      </c>
      <c r="M15" s="13" t="n">
        <v>51.49</v>
      </c>
      <c r="N15" s="13" t="n">
        <v>53.55</v>
      </c>
      <c r="O15" s="13" t="n">
        <v>4608</v>
      </c>
    </row>
    <row r="16">
      <c r="A16" t="inlineStr">
        <is>
          <t>2025-11-24</t>
        </is>
      </c>
      <c r="B16" t="inlineStr">
        <is>
          <t>Mon</t>
        </is>
      </c>
      <c r="C16" t="n">
        <v>5815</v>
      </c>
      <c r="D16" t="n">
        <v>3817</v>
      </c>
      <c r="E16" t="n">
        <v>47</v>
      </c>
      <c r="F16" t="n">
        <v>36</v>
      </c>
      <c r="G16" t="n">
        <v>29</v>
      </c>
      <c r="H16" t="n">
        <v>13</v>
      </c>
      <c r="I16" t="n">
        <v>5</v>
      </c>
      <c r="J16" t="n">
        <v>3</v>
      </c>
      <c r="K16" t="n">
        <v>24</v>
      </c>
      <c r="L16" t="n">
        <v>9</v>
      </c>
      <c r="M16" s="13" t="n">
        <v>53.64</v>
      </c>
      <c r="N16" s="13" t="n">
        <v>53.91</v>
      </c>
      <c r="O16" s="13" t="n">
        <v>9632</v>
      </c>
    </row>
    <row r="17">
      <c r="A17" t="inlineStr">
        <is>
          <t>2025-11-25</t>
        </is>
      </c>
      <c r="B17" t="inlineStr">
        <is>
          <t>Tue</t>
        </is>
      </c>
      <c r="C17" t="n">
        <v>4839</v>
      </c>
      <c r="D17" t="n">
        <v>3000</v>
      </c>
      <c r="E17" t="n">
        <v>42</v>
      </c>
      <c r="F17" t="n">
        <v>47</v>
      </c>
      <c r="G17" t="n">
        <v>26</v>
      </c>
      <c r="H17" t="n">
        <v>11</v>
      </c>
      <c r="I17" t="n">
        <v>5</v>
      </c>
      <c r="J17" t="n">
        <v>4</v>
      </c>
      <c r="K17" t="n">
        <v>31</v>
      </c>
      <c r="L17" t="n">
        <v>12</v>
      </c>
      <c r="M17" s="13" t="n">
        <v>49.3</v>
      </c>
      <c r="N17" s="13" t="n">
        <v>56.21</v>
      </c>
      <c r="O17" s="13" t="n">
        <v>7839</v>
      </c>
    </row>
    <row r="18">
      <c r="A18" t="inlineStr">
        <is>
          <t>2025-11-26</t>
        </is>
      </c>
      <c r="B18" t="inlineStr">
        <is>
          <t>Wed</t>
        </is>
      </c>
      <c r="C18" t="n">
        <v>4766</v>
      </c>
      <c r="D18" t="n">
        <v>3029</v>
      </c>
      <c r="E18" t="n">
        <v>46</v>
      </c>
      <c r="F18" t="n">
        <v>46</v>
      </c>
      <c r="G18" t="n">
        <v>29</v>
      </c>
      <c r="H18" t="n">
        <v>12</v>
      </c>
      <c r="I18" t="n">
        <v>5</v>
      </c>
      <c r="J18" t="n">
        <v>4</v>
      </c>
      <c r="K18" t="n">
        <v>30</v>
      </c>
      <c r="L18" t="n">
        <v>12</v>
      </c>
      <c r="M18" s="13" t="n">
        <v>54.21</v>
      </c>
      <c r="N18" s="13" t="n">
        <v>55.66</v>
      </c>
      <c r="O18" s="13" t="n">
        <v>7795</v>
      </c>
    </row>
    <row r="19">
      <c r="A19" t="inlineStr">
        <is>
          <t>2025-11-27</t>
        </is>
      </c>
      <c r="B19" t="inlineStr">
        <is>
          <t>Thu</t>
        </is>
      </c>
      <c r="C19" t="n">
        <v>5395</v>
      </c>
      <c r="D19" t="n">
        <v>3049</v>
      </c>
      <c r="E19" t="n">
        <v>63</v>
      </c>
      <c r="F19" t="n">
        <v>34</v>
      </c>
      <c r="G19" t="n">
        <v>39</v>
      </c>
      <c r="H19" t="n">
        <v>17</v>
      </c>
      <c r="I19" t="n">
        <v>7</v>
      </c>
      <c r="J19" t="n">
        <v>3</v>
      </c>
      <c r="K19" t="n">
        <v>23</v>
      </c>
      <c r="L19" t="n">
        <v>8</v>
      </c>
      <c r="M19" s="13" t="n">
        <v>47.13</v>
      </c>
      <c r="N19" s="13" t="n">
        <v>57</v>
      </c>
      <c r="O19" s="13" t="n">
        <v>8444</v>
      </c>
    </row>
    <row r="20">
      <c r="A20" t="inlineStr">
        <is>
          <t>2025-11-28</t>
        </is>
      </c>
      <c r="B20" t="inlineStr">
        <is>
          <t>Fri</t>
        </is>
      </c>
      <c r="C20" t="n">
        <v>4751</v>
      </c>
      <c r="D20" t="n">
        <v>3311</v>
      </c>
      <c r="E20" t="n">
        <v>41</v>
      </c>
      <c r="F20" t="n">
        <v>35</v>
      </c>
      <c r="G20" t="n">
        <v>25</v>
      </c>
      <c r="H20" t="n">
        <v>11</v>
      </c>
      <c r="I20" t="n">
        <v>5</v>
      </c>
      <c r="J20" t="n">
        <v>3</v>
      </c>
      <c r="K20" t="n">
        <v>23</v>
      </c>
      <c r="L20" t="n">
        <v>9</v>
      </c>
      <c r="M20" s="13" t="n">
        <v>51.57</v>
      </c>
      <c r="N20" s="13" t="n">
        <v>57.51</v>
      </c>
      <c r="O20" s="13" t="n">
        <v>8062</v>
      </c>
    </row>
    <row r="21">
      <c r="A21" t="inlineStr">
        <is>
          <t>2025-11-29</t>
        </is>
      </c>
      <c r="B21" t="inlineStr">
        <is>
          <t>Sat</t>
        </is>
      </c>
      <c r="C21" t="n">
        <v>2718</v>
      </c>
      <c r="D21" t="n">
        <v>1731</v>
      </c>
      <c r="E21" t="n">
        <v>25</v>
      </c>
      <c r="F21" t="n">
        <v>20</v>
      </c>
      <c r="G21" t="n">
        <v>15</v>
      </c>
      <c r="H21" t="n">
        <v>7</v>
      </c>
      <c r="I21" t="n">
        <v>3</v>
      </c>
      <c r="J21" t="n">
        <v>2</v>
      </c>
      <c r="K21" t="n">
        <v>13</v>
      </c>
      <c r="L21" t="n">
        <v>5</v>
      </c>
      <c r="M21" s="13" t="n">
        <v>47.22</v>
      </c>
      <c r="N21" s="13" t="n">
        <v>51.05</v>
      </c>
      <c r="O21" s="13" t="n">
        <v>4449</v>
      </c>
    </row>
    <row r="22">
      <c r="A22" t="inlineStr">
        <is>
          <t>2025-11-30</t>
        </is>
      </c>
      <c r="B22" t="inlineStr">
        <is>
          <t>Sun</t>
        </is>
      </c>
      <c r="C22" t="n">
        <v>2591</v>
      </c>
      <c r="D22" t="n">
        <v>1636</v>
      </c>
      <c r="E22" t="n">
        <v>30</v>
      </c>
      <c r="F22" t="n">
        <v>17</v>
      </c>
      <c r="G22" t="n">
        <v>19</v>
      </c>
      <c r="H22" t="n">
        <v>8</v>
      </c>
      <c r="I22" t="n">
        <v>3</v>
      </c>
      <c r="J22" t="n">
        <v>2</v>
      </c>
      <c r="K22" t="n">
        <v>11</v>
      </c>
      <c r="L22" t="n">
        <v>4</v>
      </c>
      <c r="M22" s="13" t="n">
        <v>53.49</v>
      </c>
      <c r="N22" s="13" t="n">
        <v>56.95</v>
      </c>
      <c r="O22" s="13" t="n">
        <v>4227</v>
      </c>
    </row>
    <row r="23">
      <c r="A23" t="inlineStr">
        <is>
          <t>2025-12-01</t>
        </is>
      </c>
      <c r="B23" t="inlineStr">
        <is>
          <t>Mon</t>
        </is>
      </c>
      <c r="C23" t="n">
        <v>4602</v>
      </c>
      <c r="D23" t="n">
        <v>3150</v>
      </c>
      <c r="E23" t="n">
        <v>42</v>
      </c>
      <c r="F23" t="n">
        <v>35</v>
      </c>
      <c r="G23" t="n">
        <v>26</v>
      </c>
      <c r="H23" t="n">
        <v>11</v>
      </c>
      <c r="I23" t="n">
        <v>5</v>
      </c>
      <c r="J23" t="n">
        <v>3</v>
      </c>
      <c r="K23" t="n">
        <v>23</v>
      </c>
      <c r="L23" t="n">
        <v>9</v>
      </c>
      <c r="M23" s="13" t="n">
        <v>49.12</v>
      </c>
      <c r="N23" s="13" t="n">
        <v>55.37</v>
      </c>
      <c r="O23" s="13" t="n">
        <v>7752</v>
      </c>
    </row>
    <row r="24">
      <c r="A24" t="inlineStr">
        <is>
          <t>2025-12-02</t>
        </is>
      </c>
      <c r="B24" t="inlineStr">
        <is>
          <t>Tue</t>
        </is>
      </c>
      <c r="C24" t="n">
        <v>5108</v>
      </c>
      <c r="D24" t="n">
        <v>3259</v>
      </c>
      <c r="E24" t="n">
        <v>48</v>
      </c>
      <c r="F24" t="n">
        <v>39</v>
      </c>
      <c r="G24" t="n">
        <v>30</v>
      </c>
      <c r="H24" t="n">
        <v>13</v>
      </c>
      <c r="I24" t="n">
        <v>5</v>
      </c>
      <c r="J24" t="n">
        <v>4</v>
      </c>
      <c r="K24" t="n">
        <v>25</v>
      </c>
      <c r="L24" t="n">
        <v>10</v>
      </c>
      <c r="M24" s="13" t="n">
        <v>55.25</v>
      </c>
      <c r="N24" s="13" t="n">
        <v>54.11</v>
      </c>
      <c r="O24" s="13" t="n">
        <v>8367</v>
      </c>
    </row>
    <row r="25">
      <c r="A25" t="inlineStr">
        <is>
          <t>2025-12-03</t>
        </is>
      </c>
      <c r="B25" t="inlineStr">
        <is>
          <t>Wed</t>
        </is>
      </c>
      <c r="C25" t="n">
        <v>5929</v>
      </c>
      <c r="D25" t="n">
        <v>2788</v>
      </c>
      <c r="E25" t="n">
        <v>40</v>
      </c>
      <c r="F25" t="n">
        <v>34</v>
      </c>
      <c r="G25" t="n">
        <v>25</v>
      </c>
      <c r="H25" t="n">
        <v>11</v>
      </c>
      <c r="I25" t="n">
        <v>4</v>
      </c>
      <c r="J25" t="n">
        <v>3</v>
      </c>
      <c r="K25" t="n">
        <v>23</v>
      </c>
      <c r="L25" t="n">
        <v>8</v>
      </c>
      <c r="M25" s="13" t="n">
        <v>54.39</v>
      </c>
      <c r="N25" s="13" t="n">
        <v>57.26</v>
      </c>
      <c r="O25" s="13" t="n">
        <v>8717</v>
      </c>
    </row>
    <row r="26">
      <c r="A26" t="inlineStr">
        <is>
          <t>2025-12-04</t>
        </is>
      </c>
      <c r="B26" t="inlineStr">
        <is>
          <t>Thu</t>
        </is>
      </c>
      <c r="C26" t="n">
        <v>5464</v>
      </c>
      <c r="D26" t="n">
        <v>3818</v>
      </c>
      <c r="E26" t="n">
        <v>58</v>
      </c>
      <c r="F26" t="n">
        <v>37</v>
      </c>
      <c r="G26" t="n">
        <v>36</v>
      </c>
      <c r="H26" t="n">
        <v>16</v>
      </c>
      <c r="I26" t="n">
        <v>6</v>
      </c>
      <c r="J26" t="n">
        <v>3</v>
      </c>
      <c r="K26" t="n">
        <v>25</v>
      </c>
      <c r="L26" t="n">
        <v>9</v>
      </c>
      <c r="M26" s="13" t="n">
        <v>50.64</v>
      </c>
      <c r="N26" s="13" t="n">
        <v>59.29</v>
      </c>
      <c r="O26" s="13" t="n">
        <v>9282</v>
      </c>
    </row>
    <row r="27">
      <c r="A27" t="inlineStr">
        <is>
          <t>2025-12-05</t>
        </is>
      </c>
      <c r="B27" t="inlineStr">
        <is>
          <t>Fri</t>
        </is>
      </c>
      <c r="C27" t="n">
        <v>4881</v>
      </c>
      <c r="D27" t="n">
        <v>2896</v>
      </c>
      <c r="E27" t="n">
        <v>37</v>
      </c>
      <c r="F27" t="n">
        <v>29</v>
      </c>
      <c r="G27" t="n">
        <v>23</v>
      </c>
      <c r="H27" t="n">
        <v>10</v>
      </c>
      <c r="I27" t="n">
        <v>4</v>
      </c>
      <c r="J27" t="n">
        <v>3</v>
      </c>
      <c r="K27" t="n">
        <v>19</v>
      </c>
      <c r="L27" t="n">
        <v>7</v>
      </c>
      <c r="M27" s="13" t="n">
        <v>47.24</v>
      </c>
      <c r="N27" s="13" t="n">
        <v>55.34</v>
      </c>
      <c r="O27" s="13" t="n">
        <v>7777</v>
      </c>
    </row>
    <row r="28">
      <c r="A28" t="inlineStr">
        <is>
          <t>2025-12-06</t>
        </is>
      </c>
      <c r="B28" t="inlineStr">
        <is>
          <t>Sat</t>
        </is>
      </c>
      <c r="C28" t="n">
        <v>2399</v>
      </c>
      <c r="D28" t="n">
        <v>1925</v>
      </c>
      <c r="E28" t="n">
        <v>21</v>
      </c>
      <c r="F28" t="n">
        <v>27</v>
      </c>
      <c r="G28" t="n">
        <v>13</v>
      </c>
      <c r="H28" t="n">
        <v>6</v>
      </c>
      <c r="I28" t="n">
        <v>2</v>
      </c>
      <c r="J28" t="n">
        <v>2</v>
      </c>
      <c r="K28" t="n">
        <v>18</v>
      </c>
      <c r="L28" t="n">
        <v>7</v>
      </c>
      <c r="M28" s="13" t="n">
        <v>48.36</v>
      </c>
      <c r="N28" s="13" t="n">
        <v>52.22</v>
      </c>
      <c r="O28" s="13" t="n">
        <v>4324</v>
      </c>
    </row>
    <row r="29">
      <c r="A29" t="inlineStr">
        <is>
          <t>2025-12-07</t>
        </is>
      </c>
      <c r="B29" t="inlineStr">
        <is>
          <t>Sun</t>
        </is>
      </c>
      <c r="C29" t="n">
        <v>2436</v>
      </c>
      <c r="D29" t="n">
        <v>2202</v>
      </c>
      <c r="E29" t="n">
        <v>25</v>
      </c>
      <c r="F29" t="n">
        <v>25</v>
      </c>
      <c r="G29" t="n">
        <v>15</v>
      </c>
      <c r="H29" t="n">
        <v>7</v>
      </c>
      <c r="I29" t="n">
        <v>3</v>
      </c>
      <c r="J29" t="n">
        <v>2</v>
      </c>
      <c r="K29" t="n">
        <v>17</v>
      </c>
      <c r="L29" t="n">
        <v>6</v>
      </c>
      <c r="M29" s="13" t="n">
        <v>55.72</v>
      </c>
      <c r="N29" s="13" t="n">
        <v>50.34</v>
      </c>
      <c r="O29" s="13" t="n">
        <v>4638</v>
      </c>
    </row>
  </sheetData>
  <autoFilter ref="A1:O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14" t="inlineStr">
        <is>
          <t>KEY INSIGHTS</t>
        </is>
      </c>
    </row>
    <row r="2" ht="30" customHeight="1">
      <c r="A2" s="15" t="inlineStr">
        <is>
          <t>1. Audience is growing: 205,900 users in 28 days, +11.7% vs the previous period (+21,600 users), and conversions grew faster (+435).</t>
        </is>
      </c>
    </row>
    <row r="3" ht="30" customHeight="1">
      <c r="A3" s="15" t="inlineStr">
        <is>
          <t>2. The App converts better: 1.15% vs Web 0.97% — app users are fewer (81,600) but more committed, and they engage more (55.2% vs 50.8%).</t>
        </is>
      </c>
    </row>
    <row r="4" ht="30" customHeight="1">
      <c r="A4" s="15" t="inlineStr">
        <is>
          <t>3. People buy on Web and upgrade in the App: purchases are 744 Web vs 84 App, while upgrades flip — 621 App vs 327 Web. Put checkout effort into Web, upgrade prompts into the App.</t>
        </is>
      </c>
    </row>
    <row r="5" ht="30" customHeight="1">
      <c r="A5" s="15" t="inlineStr">
        <is>
          <t>4. Weekends dip hard: average daily users fall 48% on Sat–Sun. Launch campaigns and announcements Tue–Thu; best day was Mon 24 Nov with 9,632 users.</t>
        </is>
      </c>
    </row>
    <row r="6" ht="18" customHeight="1">
      <c r="A6" s="15" t="inlineStr"/>
    </row>
    <row r="7" ht="18" customHeight="1">
      <c r="A7" s="16" t="inlineStr">
        <is>
          <t>HOW THIS WAS MADE</t>
        </is>
      </c>
    </row>
    <row r="8" ht="30" customHeight="1">
      <c r="A8" s="15" t="inlineStr">
        <is>
          <t>• GA4-style daily export (users, conversions by event, engagement) cleaned in Python; every card total is a live formula on the Data sheet, so the dashboard can be re-run for any new 28-day window.</t>
        </is>
      </c>
    </row>
    <row r="9" ht="18" customHeight="1">
      <c r="A9" s="15" t="inlineStr">
        <is>
          <t>• Sample project on sample data. Client data stays confidential and is never reused.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2026-10-22T07:56:16+00:00Z</dcterms:created>
  <dcterms:modified xmlns:dcterms="http://purl.org/dc/terms/" xmlns:xsi="http://www.w3.org/2001/XMLSchema-instance" xsi:type="dcterms:W3CDTF">2026-10-22T07:56:16+00:00Z</dcterms:modified>
</cp:coreProperties>
</file>